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9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文档\通用大数据\财审\"/>
    </mc:Choice>
  </mc:AlternateContent>
  <bookViews>
    <workbookView xWindow="0" yWindow="0" windowWidth="28800" windowHeight="12240" firstSheet="8" activeTab="9"/>
  </bookViews>
  <sheets>
    <sheet name="Sheet4" sheetId="4" state="hidden" r:id="rId1"/>
    <sheet name="Sheet1" sheetId="5" state="hidden" r:id="rId2"/>
    <sheet name="Sheet3" sheetId="6" state="hidden" r:id="rId3"/>
    <sheet name="Sheet5" sheetId="7" state="hidden" r:id="rId4"/>
    <sheet name="Sheet6" sheetId="8" state="hidden" r:id="rId5"/>
    <sheet name="Sheet7" sheetId="9" state="hidden" r:id="rId6"/>
    <sheet name="Sheet8" sheetId="10" state="hidden" r:id="rId7"/>
    <sheet name="Sheet9" sheetId="11" state="hidden" r:id="rId8"/>
    <sheet name="总览" sheetId="3" r:id="rId9"/>
    <sheet name="每个项目月总计" sheetId="1" r:id="rId10"/>
    <sheet name="Sheet2" sheetId="2" r:id="rId11"/>
  </sheets>
  <definedNames>
    <definedName name="ExternalData_1" localSheetId="10" hidden="1">Sheet2!$A$1:$D$40</definedName>
    <definedName name="切片器_game">#N/A</definedName>
  </definedNames>
  <calcPr calcId="162913"/>
  <pivotCaches>
    <pivotCache cacheId="31" r:id="rId12"/>
  </pivotCaches>
  <extLs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查询 - 2025年第一季度" description="与工作簿中“2025年第一季度”查询的连接。" type="5" refreshedVersion="6" background="1" saveData="1">
    <dbPr connection="Provider=Microsoft.Mashup.OleDb.1;Data Source=$Workbook$;Location=2025年第一季度;Extended Properties=&quot;&quot;" command="SELECT * FROM [2025年第一季度]"/>
  </connection>
  <connection id="2" keepAlive="1" name="查询 - 从 2025年第一季度 转换示例文件" description="与工作簿中“从 2025年第一季度 转换示例文件”查询的连接。" type="5" refreshedVersion="0" background="1">
    <dbPr connection="Provider=Microsoft.Mashup.OleDb.1;Data Source=$Workbook$;Location=&quot;从 2025年第一季度 转换示例文件&quot;;Extended Properties=&quot;&quot;" command="SELECT * FROM [从 2025年第一季度 转换示例文件]"/>
  </connection>
  <connection id="3" keepAlive="1" name="查询 - 从 2025年第一季度 转换文件" description="与工作簿中“从 2025年第一季度 转换文件”查询的连接。" type="5" refreshedVersion="0" background="1">
    <dbPr connection="Provider=Microsoft.Mashup.OleDb.1;Data Source=$Workbook$;Location=&quot;从 2025年第一季度 转换文件&quot;;Extended Properties=&quot;&quot;" command="SELECT * FROM [从 2025年第一季度 转换文件]"/>
  </connection>
  <connection id="4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5" keepAlive="1" name="查询 - 示例文件参数1" description="与工作簿中“示例文件参数1”查询的连接。" type="5" refreshedVersion="0" background="1">
    <dbPr connection="Provider=Microsoft.Mashup.OleDb.1;Data Source=$Workbook$;Location=示例文件参数1;Extended Properties=&quot;&quot;" command="SELECT * FROM [示例文件参数1]"/>
  </connection>
</connections>
</file>

<file path=xl/sharedStrings.xml><?xml version="1.0" encoding="utf-8"?>
<sst xmlns="http://schemas.openxmlformats.org/spreadsheetml/2006/main" count="125" uniqueCount="23">
  <si>
    <t>month</t>
  </si>
  <si>
    <t>mau</t>
  </si>
  <si>
    <t>revenue_rmb</t>
  </si>
  <si>
    <t>game</t>
  </si>
  <si>
    <t>坦克-国服</t>
  </si>
  <si>
    <t>坦克-日本</t>
  </si>
  <si>
    <t>战国-日本</t>
  </si>
  <si>
    <t>海战-国服</t>
  </si>
  <si>
    <t>海战-日本</t>
  </si>
  <si>
    <t>海战2-亚服</t>
  </si>
  <si>
    <t>海战2-国服</t>
  </si>
  <si>
    <t>现代海战-国服</t>
  </si>
  <si>
    <t>红警-PC</t>
  </si>
  <si>
    <t>龙女-台湾</t>
  </si>
  <si>
    <t>龙女-日本</t>
  </si>
  <si>
    <t>龙女-欧美</t>
  </si>
  <si>
    <t>龙女-韩国</t>
  </si>
  <si>
    <t>总计</t>
  </si>
  <si>
    <t>月活跃</t>
  </si>
  <si>
    <t>充值金额（人民币）</t>
  </si>
  <si>
    <t>1月</t>
  </si>
  <si>
    <t>2月</t>
  </si>
  <si>
    <t>3月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</si>
</sst>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7" formatCode="&quot;¥&quot;#,##0.00;&quot;¥&quot;\-#,##0.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0" fontId="2" fillId="0" borderId="0" xfId="0" pivotButton="1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7" fontId="2" fillId="0" borderId="0" xfId="0" applyNumberFormat="1" applyFont="1">
      <alignment vertical="center"/>
    </xf>
  </cellXfs>
  <cellStyles count="1">
    <cellStyle name="常规" xfId="0" builtinId="0"/>
  </cellStyles>
  <dxfs count="114"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1" formatCode="&quot;¥&quot;#,##0.00;&quot;¥&quot;\-#,##0.00"/>
    </dxf>
    <dxf>
      <numFmt numFmtId="11" formatCode="&quot;¥&quot;#,##0.00;&quot;¥&quot;\-#,##0.00"/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1" formatCode="&quot;¥&quot;#,##0.00;&quot;¥&quot;\-#,##0.00"/>
    </dxf>
    <dxf>
      <numFmt numFmtId="11" formatCode="&quot;¥&quot;#,##0.00;&quot;¥&quot;\-#,##0.00"/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1" formatCode="&quot;¥&quot;#,##0.00;&quot;¥&quot;\-#,##0.00"/>
    </dxf>
    <dxf>
      <numFmt numFmtId="11" formatCode="&quot;¥&quot;#,##0.00;&quot;¥&quot;\-#,##0.0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</dxf>
    <dxf>
      <numFmt numFmtId="11" formatCode="&quot;¥&quot;#,##0.00;&quot;¥&quot;\-#,##0.00"/>
    </dxf>
    <dxf>
      <numFmt numFmtId="11" formatCode="&quot;¥&quot;#,##0.00;&quot;¥&quot;\-#,##0.0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numFmt numFmtId="11" formatCode="&quot;¥&quot;#,##0.00;&quot;¥&quot;\-#,##0.00"/>
    </dxf>
    <dxf>
      <numFmt numFmtId="11" formatCode="&quot;¥&quot;#,##0.00;&quot;¥&quot;\-#,##0.0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419099</xdr:colOff>
      <xdr:row>13</xdr:row>
      <xdr:rowOff>85725</xdr:rowOff>
    </xdr:from>
    <xdr:to>
      <xdr:col>13</xdr:col>
      <xdr:colOff>142875</xdr:colOff>
      <xdr:row>33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91149" y="2438400"/>
              <a:ext cx="3838576" cy="3543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Q" refreshedDate="45792.981595254627" createdVersion="6" refreshedVersion="6" minRefreshableVersion="3" recordCount="39">
  <cacheSource type="worksheet">
    <worksheetSource name="_2025年第一季度"/>
  </cacheSource>
  <cacheFields count="5">
    <cacheField name="month" numFmtId="14">
      <sharedItems containsSemiMixedTypes="0" containsNonDate="0" containsDate="1" containsString="0" minDate="2025-01-01T00:00:00" maxDate="2025-03-02T00:00:00" count="3">
        <d v="2025-01-01T00:00:00"/>
        <d v="2025-02-01T00:00:00"/>
        <d v="2025-03-01T00:00:00"/>
      </sharedItems>
      <fieldGroup par="4" base="0">
        <rangePr groupBy="days" startDate="2025-01-01T00:00:00" endDate="2025-03-02T00:00:00"/>
        <groupItems count="368">
          <s v="&lt;2025/1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5/3/2"/>
        </groupItems>
      </fieldGroup>
    </cacheField>
    <cacheField name="mau" numFmtId="0">
      <sharedItems containsSemiMixedTypes="0" containsString="0" containsNumber="1" containsInteger="1" minValue="1669" maxValue="28023"/>
    </cacheField>
    <cacheField name="revenue_rmb" numFmtId="0">
      <sharedItems containsSemiMixedTypes="0" containsString="0" containsNumber="1" minValue="796.7" maxValue="5441535.8600000003"/>
    </cacheField>
    <cacheField name="game" numFmtId="0">
      <sharedItems count="13">
        <s v="坦克-国服"/>
        <s v="坦克-日本"/>
        <s v="战国-日本"/>
        <s v="海战-国服"/>
        <s v="海战-日本"/>
        <s v="海战2-亚服"/>
        <s v="海战2-国服"/>
        <s v="现代海战-国服"/>
        <s v="红警-PC"/>
        <s v="龙女-台湾"/>
        <s v="龙女-日本"/>
        <s v="龙女-欧美"/>
        <s v="龙女-韩国"/>
      </sharedItems>
    </cacheField>
    <cacheField name="月" numFmtId="0" databaseField="0">
      <fieldGroup base="0">
        <rangePr groupBy="months" startDate="2025-01-01T00:00:00" endDate="2025-03-02T00:00:00"/>
        <groupItems count="14">
          <s v="&lt;2025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3/2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">
  <r>
    <x v="0"/>
    <n v="10895"/>
    <n v="207812"/>
    <x v="0"/>
  </r>
  <r>
    <x v="1"/>
    <n v="7937"/>
    <n v="207137"/>
    <x v="0"/>
  </r>
  <r>
    <x v="2"/>
    <n v="7926"/>
    <n v="194268"/>
    <x v="0"/>
  </r>
  <r>
    <x v="0"/>
    <n v="2305"/>
    <n v="242501.27"/>
    <x v="1"/>
  </r>
  <r>
    <x v="1"/>
    <n v="2477"/>
    <n v="224012.56"/>
    <x v="1"/>
  </r>
  <r>
    <x v="2"/>
    <n v="2190"/>
    <n v="303496.40000000002"/>
    <x v="1"/>
  </r>
  <r>
    <x v="0"/>
    <n v="3842"/>
    <n v="1549051.74"/>
    <x v="2"/>
  </r>
  <r>
    <x v="1"/>
    <n v="3636"/>
    <n v="1319028.8500000001"/>
    <x v="2"/>
  </r>
  <r>
    <x v="2"/>
    <n v="3582"/>
    <n v="1609887.81"/>
    <x v="2"/>
  </r>
  <r>
    <x v="0"/>
    <n v="14296"/>
    <n v="1599868"/>
    <x v="3"/>
  </r>
  <r>
    <x v="1"/>
    <n v="12252"/>
    <n v="1252537"/>
    <x v="3"/>
  </r>
  <r>
    <x v="2"/>
    <n v="12610"/>
    <n v="1426002"/>
    <x v="3"/>
  </r>
  <r>
    <x v="0"/>
    <n v="11298"/>
    <n v="2499988.61"/>
    <x v="4"/>
  </r>
  <r>
    <x v="1"/>
    <n v="11073"/>
    <n v="2396539.9900000002"/>
    <x v="4"/>
  </r>
  <r>
    <x v="2"/>
    <n v="10597"/>
    <n v="2277059.77"/>
    <x v="4"/>
  </r>
  <r>
    <x v="0"/>
    <n v="5271"/>
    <n v="1417133.49"/>
    <x v="5"/>
  </r>
  <r>
    <x v="1"/>
    <n v="5010"/>
    <n v="1171451.1399999999"/>
    <x v="5"/>
  </r>
  <r>
    <x v="2"/>
    <n v="4990"/>
    <n v="1256847.75"/>
    <x v="5"/>
  </r>
  <r>
    <x v="0"/>
    <n v="4251"/>
    <n v="208936"/>
    <x v="6"/>
  </r>
  <r>
    <x v="1"/>
    <n v="3277"/>
    <n v="99734"/>
    <x v="6"/>
  </r>
  <r>
    <x v="2"/>
    <n v="3132"/>
    <n v="120922"/>
    <x v="6"/>
  </r>
  <r>
    <x v="0"/>
    <n v="9984"/>
    <n v="1066.6400000000001"/>
    <x v="7"/>
  </r>
  <r>
    <x v="1"/>
    <n v="8329"/>
    <n v="796.7"/>
    <x v="7"/>
  </r>
  <r>
    <x v="2"/>
    <n v="8300"/>
    <n v="1095.6500000000001"/>
    <x v="7"/>
  </r>
  <r>
    <x v="0"/>
    <n v="28023"/>
    <n v="5441535.8600000003"/>
    <x v="8"/>
  </r>
  <r>
    <x v="1"/>
    <n v="26410"/>
    <n v="5258541.5999999996"/>
    <x v="8"/>
  </r>
  <r>
    <x v="2"/>
    <n v="25989"/>
    <n v="4825212.08"/>
    <x v="8"/>
  </r>
  <r>
    <x v="0"/>
    <n v="6299"/>
    <n v="534418.13"/>
    <x v="9"/>
  </r>
  <r>
    <x v="1"/>
    <n v="5870"/>
    <n v="359888.91"/>
    <x v="9"/>
  </r>
  <r>
    <x v="2"/>
    <n v="5842"/>
    <n v="419816.16"/>
    <x v="9"/>
  </r>
  <r>
    <x v="0"/>
    <n v="13465"/>
    <n v="872856.24"/>
    <x v="10"/>
  </r>
  <r>
    <x v="1"/>
    <n v="11807"/>
    <n v="829410.34"/>
    <x v="10"/>
  </r>
  <r>
    <x v="2"/>
    <n v="11733"/>
    <n v="963190.67"/>
    <x v="10"/>
  </r>
  <r>
    <x v="0"/>
    <n v="12474"/>
    <n v="1002973.22"/>
    <x v="11"/>
  </r>
  <r>
    <x v="1"/>
    <n v="10402"/>
    <n v="770401.6"/>
    <x v="11"/>
  </r>
  <r>
    <x v="2"/>
    <n v="9713"/>
    <n v="651413.35"/>
    <x v="11"/>
  </r>
  <r>
    <x v="0"/>
    <n v="1958"/>
    <n v="235143.99"/>
    <x v="12"/>
  </r>
  <r>
    <x v="1"/>
    <n v="1669"/>
    <n v="183526.43"/>
    <x v="12"/>
  </r>
  <r>
    <x v="2"/>
    <n v="1681"/>
    <n v="184643.71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5" cacheId="3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rowHeaderCaption="game">
  <location ref="A3:C17" firstHeaderRow="0" firstDataRow="1" firstDataCol="1"/>
  <pivotFields count="5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dataField="1" showAll="0"/>
    <pivotField axis="axisRow" showAll="0" sortType="descending">
      <items count="14">
        <item x="6"/>
        <item x="5"/>
        <item x="3"/>
        <item x="4"/>
        <item x="8"/>
        <item x="12"/>
        <item x="11"/>
        <item x="10"/>
        <item x="9"/>
        <item x="0"/>
        <item x="1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4">
    <i>
      <x v="4"/>
    </i>
    <i>
      <x v="3"/>
    </i>
    <i>
      <x v="12"/>
    </i>
    <i>
      <x v="2"/>
    </i>
    <i>
      <x v="1"/>
    </i>
    <i>
      <x v="7"/>
    </i>
    <i>
      <x v="6"/>
    </i>
    <i>
      <x v="8"/>
    </i>
    <i>
      <x v="10"/>
    </i>
    <i>
      <x v="9"/>
    </i>
    <i>
      <x v="5"/>
    </i>
    <i>
      <x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充值金额（人民币）" fld="2" baseField="3" baseItem="0" numFmtId="7"/>
    <dataField name="月活跃" fld="1" baseField="3" baseItem="0"/>
  </dataFields>
  <formats count="20"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3" type="button" dataOnly="0" labelOnly="1" outline="0" axis="axisRow" fieldPosition="0"/>
    </format>
    <format dxfId="102">
      <pivotArea dataOnly="0" labelOnly="1" fieldPosition="0">
        <references count="1">
          <reference field="3" count="0"/>
        </references>
      </pivotArea>
    </format>
    <format dxfId="101">
      <pivotArea dataOnly="0" labelOnly="1" grandRow="1" outline="0" fieldPosition="0"/>
    </format>
    <format dxfId="1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3" type="button" dataOnly="0" labelOnly="1" outline="0" axis="axisRow" fieldPosition="0"/>
    </format>
    <format dxfId="96">
      <pivotArea dataOnly="0" labelOnly="1" fieldPosition="0">
        <references count="1">
          <reference field="3" count="0"/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3" type="button" dataOnly="0" labelOnly="1" outline="0" axis="axisRow" fieldPosition="0"/>
    </format>
    <format dxfId="90">
      <pivotArea dataOnly="0" labelOnly="1" fieldPosition="0">
        <references count="1">
          <reference field="3" count="0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6" cacheId="3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rowHeaderCaption="game">
  <location ref="A3:C7" firstHeaderRow="0" firstDataRow="1" firstDataCol="1" rowPageCount="1" colPageCount="1"/>
  <pivotFields count="5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dataField="1" showAll="0"/>
    <pivotField axis="axisPage" showAll="0">
      <items count="14">
        <item x="6"/>
        <item x="5"/>
        <item x="3"/>
        <item x="4"/>
        <item x="8"/>
        <item x="12"/>
        <item x="11"/>
        <item x="10"/>
        <item x="9"/>
        <item x="0"/>
        <item x="1"/>
        <item x="7"/>
        <item x="2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4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充值金额（人民币）" fld="2" baseField="3" baseItem="0" numFmtId="7"/>
    <dataField name="月活跃" fld="1" baseField="3" baseItem="0"/>
  </dataFields>
  <formats count="20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3" type="button" dataOnly="0" labelOnly="1" outline="0" axis="axisPage" fieldPosition="0"/>
    </format>
    <format dxfId="82">
      <pivotArea dataOnly="0" labelOnly="1" fieldPosition="0">
        <references count="1">
          <reference field="3" count="0"/>
        </references>
      </pivotArea>
    </format>
    <format dxfId="81">
      <pivotArea dataOnly="0" labelOnly="1" grandRow="1" outline="0" fieldPosition="0"/>
    </format>
    <format dxfId="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3" type="button" dataOnly="0" labelOnly="1" outline="0" axis="axisPage" fieldPosition="0"/>
    </format>
    <format dxfId="76">
      <pivotArea dataOnly="0" labelOnly="1" fieldPosition="0">
        <references count="1">
          <reference field="3" count="0"/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3" type="button" dataOnly="0" labelOnly="1" outline="0" axis="axisPage" fieldPosition="0"/>
    </format>
    <format dxfId="70">
      <pivotArea dataOnly="0" labelOnly="1" fieldPosition="0">
        <references count="1">
          <reference field="3" count="0"/>
        </references>
      </pivotArea>
    </format>
    <format dxfId="69">
      <pivotArea dataOnly="0" labelOnly="1" grandRow="1" outline="0" fieldPosition="0"/>
    </format>
    <format dxfId="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month" tableColumnId="9"/>
      <queryTableField id="2" name="mau" tableColumnId="10"/>
      <queryTableField id="3" name="revenue_rmb" tableColumnId="11"/>
      <queryTableField id="4" name="game" tableColumnId="1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game" sourceName="game">
  <pivotTables>
    <pivotTable tabId="1" name="数据透视表6"/>
  </pivotTables>
  <data>
    <tabular pivotCacheId="1">
      <items count="13">
        <i x="6" s="1"/>
        <i x="5"/>
        <i x="3"/>
        <i x="4"/>
        <i x="8"/>
        <i x="12"/>
        <i x="11"/>
        <i x="10"/>
        <i x="9"/>
        <i x="0"/>
        <i x="1"/>
        <i x="7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ame" cache="切片器_game" caption="game" rowHeight="209550"/>
</slicer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表2" displayName="表2" ref="A1:D4" totalsRowShown="0">
  <autoFilter ref="A1:D4"/>
  <tableColumns count="4">
    <tableColumn id="1" name="month" dataDxfId="113"/>
    <tableColumn id="2" name="mau"/>
    <tableColumn id="3" name="revenue_rmb"/>
    <tableColumn id="4" name="g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表3" displayName="表3" ref="A1:D4" totalsRowShown="0">
  <autoFilter ref="A1:D4"/>
  <tableColumns count="4">
    <tableColumn id="1" name="month" dataDxfId="112"/>
    <tableColumn id="2" name="mau"/>
    <tableColumn id="3" name="revenue_rmb"/>
    <tableColumn id="4" name="g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表4" displayName="表4" ref="A1:D4" totalsRowShown="0">
  <autoFilter ref="A1:D4"/>
  <tableColumns count="4">
    <tableColumn id="1" name="month" dataDxfId="111"/>
    <tableColumn id="2" name="mau"/>
    <tableColumn id="3" name="revenue_rmb"/>
    <tableColumn id="4" name="g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表5" displayName="表5" ref="A1:D4" totalsRowShown="0">
  <autoFilter ref="A1:D4"/>
  <tableColumns count="4">
    <tableColumn id="1" name="month" dataDxfId="110"/>
    <tableColumn id="2" name="mau"/>
    <tableColumn id="3" name="revenue_rmb"/>
    <tableColumn id="4" name="g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表6" displayName="表6" ref="A1:D4" totalsRowShown="0">
  <autoFilter ref="A1:D4"/>
  <tableColumns count="4">
    <tableColumn id="1" name="month" dataDxfId="109"/>
    <tableColumn id="2" name="mau"/>
    <tableColumn id="3" name="revenue_rmb"/>
    <tableColumn id="4" name="g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表7" displayName="表7" ref="A1:D4" totalsRowShown="0">
  <autoFilter ref="A1:D4"/>
  <tableColumns count="4">
    <tableColumn id="1" name="month" dataDxfId="108"/>
    <tableColumn id="2" name="mau"/>
    <tableColumn id="3" name="revenue_rmb"/>
    <tableColumn id="4" name="g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表8" displayName="表8" ref="A1:D4" totalsRowShown="0">
  <autoFilter ref="A1:D4"/>
  <tableColumns count="4">
    <tableColumn id="1" name="month" dataDxfId="107"/>
    <tableColumn id="2" name="mau"/>
    <tableColumn id="3" name="revenue_rmb"/>
    <tableColumn id="4" name="gam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表9" displayName="表9" ref="A1:D4" totalsRowShown="0">
  <autoFilter ref="A1:D4"/>
  <tableColumns count="4">
    <tableColumn id="1" name="month" dataDxfId="106"/>
    <tableColumn id="2" name="mau"/>
    <tableColumn id="3" name="revenue_rmb"/>
    <tableColumn id="4" name="g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" name="_2025年第一季度" displayName="_2025年第一季度" ref="A1:D40" tableType="queryTable" totalsRowShown="0" headerRowDxfId="65" dataDxfId="64">
  <autoFilter ref="A1:D40"/>
  <tableColumns count="4">
    <tableColumn id="9" uniqueName="9" name="month" queryTableFieldId="1" dataDxfId="63"/>
    <tableColumn id="10" uniqueName="10" name="mau" queryTableFieldId="2" dataDxfId="62"/>
    <tableColumn id="11" uniqueName="11" name="revenue_rmb" queryTableFieldId="3" dataDxfId="61"/>
    <tableColumn id="12" uniqueName="12" name="game" queryTableFieldId="4" dataDxfId="6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4.25" x14ac:dyDescent="0.2"/>
  <cols>
    <col min="3" max="3" width="14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45717</v>
      </c>
      <c r="B2">
        <v>25989</v>
      </c>
      <c r="C2">
        <v>4825212.08</v>
      </c>
      <c r="D2" t="s">
        <v>12</v>
      </c>
    </row>
    <row r="3" spans="1:4" x14ac:dyDescent="0.2">
      <c r="A3" s="1">
        <v>45689</v>
      </c>
      <c r="B3">
        <v>26410</v>
      </c>
      <c r="C3">
        <v>5258541.5999999996</v>
      </c>
      <c r="D3" t="s">
        <v>12</v>
      </c>
    </row>
    <row r="4" spans="1:4" x14ac:dyDescent="0.2">
      <c r="A4" s="1">
        <v>45658</v>
      </c>
      <c r="B4">
        <v>28023</v>
      </c>
      <c r="C4">
        <v>5441535.8600000003</v>
      </c>
      <c r="D4" t="s"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4.25" x14ac:dyDescent="0.2"/>
  <cols>
    <col min="3" max="3" width="14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45717</v>
      </c>
      <c r="B2">
        <v>1681</v>
      </c>
      <c r="C2">
        <v>184643.71</v>
      </c>
      <c r="D2" t="s">
        <v>16</v>
      </c>
    </row>
    <row r="3" spans="1:4" x14ac:dyDescent="0.2">
      <c r="A3" s="1">
        <v>45689</v>
      </c>
      <c r="B3">
        <v>1669</v>
      </c>
      <c r="C3">
        <v>183526.43</v>
      </c>
      <c r="D3" t="s">
        <v>16</v>
      </c>
    </row>
    <row r="4" spans="1:4" x14ac:dyDescent="0.2">
      <c r="A4" s="1">
        <v>45658</v>
      </c>
      <c r="B4">
        <v>1958</v>
      </c>
      <c r="C4">
        <v>235143.99</v>
      </c>
      <c r="D4" t="s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39" sqref="B39"/>
    </sheetView>
  </sheetViews>
  <sheetFormatPr defaultRowHeight="14.25" x14ac:dyDescent="0.2"/>
  <cols>
    <col min="3" max="3" width="14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45717</v>
      </c>
      <c r="B2">
        <v>25989</v>
      </c>
      <c r="C2">
        <v>4825212.08</v>
      </c>
      <c r="D2" t="s">
        <v>12</v>
      </c>
    </row>
    <row r="3" spans="1:4" x14ac:dyDescent="0.2">
      <c r="A3" s="1">
        <v>45689</v>
      </c>
      <c r="B3">
        <v>26410</v>
      </c>
      <c r="C3">
        <v>5258541.5999999996</v>
      </c>
      <c r="D3" t="s">
        <v>12</v>
      </c>
    </row>
    <row r="4" spans="1:4" x14ac:dyDescent="0.2">
      <c r="A4" s="1">
        <v>45658</v>
      </c>
      <c r="B4">
        <v>28023</v>
      </c>
      <c r="C4">
        <v>5441535.8600000003</v>
      </c>
      <c r="D4" t="s"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4.25" x14ac:dyDescent="0.2"/>
  <cols>
    <col min="3" max="3" width="14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45717</v>
      </c>
      <c r="B2">
        <v>3132</v>
      </c>
      <c r="C2">
        <v>120922</v>
      </c>
      <c r="D2" t="s">
        <v>10</v>
      </c>
    </row>
    <row r="3" spans="1:4" x14ac:dyDescent="0.2">
      <c r="A3" s="1">
        <v>45689</v>
      </c>
      <c r="B3">
        <v>3277</v>
      </c>
      <c r="C3">
        <v>99734</v>
      </c>
      <c r="D3" t="s">
        <v>10</v>
      </c>
    </row>
    <row r="4" spans="1:4" x14ac:dyDescent="0.2">
      <c r="A4" s="1">
        <v>45658</v>
      </c>
      <c r="B4">
        <v>4251</v>
      </c>
      <c r="C4">
        <v>208936</v>
      </c>
      <c r="D4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4.25" x14ac:dyDescent="0.2"/>
  <cols>
    <col min="3" max="3" width="14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45717</v>
      </c>
      <c r="B2">
        <v>3132</v>
      </c>
      <c r="C2">
        <v>120922</v>
      </c>
      <c r="D2" t="s">
        <v>10</v>
      </c>
    </row>
    <row r="3" spans="1:4" x14ac:dyDescent="0.2">
      <c r="A3" s="1">
        <v>45689</v>
      </c>
      <c r="B3">
        <v>3277</v>
      </c>
      <c r="C3">
        <v>99734</v>
      </c>
      <c r="D3" t="s">
        <v>10</v>
      </c>
    </row>
    <row r="4" spans="1:4" x14ac:dyDescent="0.2">
      <c r="A4" s="1">
        <v>45658</v>
      </c>
      <c r="B4">
        <v>4251</v>
      </c>
      <c r="C4">
        <v>208936</v>
      </c>
      <c r="D4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4.25" x14ac:dyDescent="0.2"/>
  <cols>
    <col min="3" max="3" width="14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45717</v>
      </c>
      <c r="B2">
        <v>3132</v>
      </c>
      <c r="C2">
        <v>120922</v>
      </c>
      <c r="D2" t="s">
        <v>10</v>
      </c>
    </row>
    <row r="3" spans="1:4" x14ac:dyDescent="0.2">
      <c r="A3" s="1">
        <v>45689</v>
      </c>
      <c r="B3">
        <v>3277</v>
      </c>
      <c r="C3">
        <v>99734</v>
      </c>
      <c r="D3" t="s">
        <v>10</v>
      </c>
    </row>
    <row r="4" spans="1:4" x14ac:dyDescent="0.2">
      <c r="A4" s="1">
        <v>45658</v>
      </c>
      <c r="B4">
        <v>4251</v>
      </c>
      <c r="C4">
        <v>208936</v>
      </c>
      <c r="D4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4.25" x14ac:dyDescent="0.2"/>
  <cols>
    <col min="3" max="3" width="14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45717</v>
      </c>
      <c r="B2">
        <v>3132</v>
      </c>
      <c r="C2">
        <v>120922</v>
      </c>
      <c r="D2" t="s">
        <v>10</v>
      </c>
    </row>
    <row r="3" spans="1:4" x14ac:dyDescent="0.2">
      <c r="A3" s="1">
        <v>45689</v>
      </c>
      <c r="B3">
        <v>3277</v>
      </c>
      <c r="C3">
        <v>99734</v>
      </c>
      <c r="D3" t="s">
        <v>10</v>
      </c>
    </row>
    <row r="4" spans="1:4" x14ac:dyDescent="0.2">
      <c r="A4" s="1">
        <v>45658</v>
      </c>
      <c r="B4">
        <v>4251</v>
      </c>
      <c r="C4">
        <v>208936</v>
      </c>
      <c r="D4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4.25" x14ac:dyDescent="0.2"/>
  <cols>
    <col min="3" max="3" width="14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45717</v>
      </c>
      <c r="B2">
        <v>3132</v>
      </c>
      <c r="C2">
        <v>120922</v>
      </c>
      <c r="D2" t="s">
        <v>10</v>
      </c>
    </row>
    <row r="3" spans="1:4" x14ac:dyDescent="0.2">
      <c r="A3" s="1">
        <v>45689</v>
      </c>
      <c r="B3">
        <v>3277</v>
      </c>
      <c r="C3">
        <v>99734</v>
      </c>
      <c r="D3" t="s">
        <v>10</v>
      </c>
    </row>
    <row r="4" spans="1:4" x14ac:dyDescent="0.2">
      <c r="A4" s="1">
        <v>45658</v>
      </c>
      <c r="B4">
        <v>4251</v>
      </c>
      <c r="C4">
        <v>208936</v>
      </c>
      <c r="D4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7"/>
  <sheetViews>
    <sheetView workbookViewId="0">
      <selection activeCell="B5" sqref="B5"/>
    </sheetView>
  </sheetViews>
  <sheetFormatPr defaultRowHeight="14.25" x14ac:dyDescent="0.2"/>
  <cols>
    <col min="1" max="1" width="11.25" style="5" customWidth="1"/>
    <col min="2" max="2" width="15.5" style="5" customWidth="1"/>
    <col min="3" max="3" width="6.75" style="7" customWidth="1"/>
    <col min="4" max="16384" width="9" style="5"/>
  </cols>
  <sheetData>
    <row r="3" spans="1:3" x14ac:dyDescent="0.2">
      <c r="A3" s="4" t="s">
        <v>3</v>
      </c>
      <c r="B3" s="7" t="s">
        <v>19</v>
      </c>
      <c r="C3" s="5" t="s">
        <v>18</v>
      </c>
    </row>
    <row r="4" spans="1:3" x14ac:dyDescent="0.2">
      <c r="A4" s="6" t="s">
        <v>12</v>
      </c>
      <c r="B4" s="7">
        <v>15525289.540000001</v>
      </c>
      <c r="C4" s="2">
        <v>80422</v>
      </c>
    </row>
    <row r="5" spans="1:3" x14ac:dyDescent="0.2">
      <c r="A5" s="6" t="s">
        <v>8</v>
      </c>
      <c r="B5" s="7">
        <v>7173588.3699999992</v>
      </c>
      <c r="C5" s="2">
        <v>32968</v>
      </c>
    </row>
    <row r="6" spans="1:3" x14ac:dyDescent="0.2">
      <c r="A6" s="6" t="s">
        <v>6</v>
      </c>
      <c r="B6" s="7">
        <v>4477968.4000000004</v>
      </c>
      <c r="C6" s="2">
        <v>11060</v>
      </c>
    </row>
    <row r="7" spans="1:3" x14ac:dyDescent="0.2">
      <c r="A7" s="6" t="s">
        <v>7</v>
      </c>
      <c r="B7" s="7">
        <v>4278407</v>
      </c>
      <c r="C7" s="2">
        <v>39158</v>
      </c>
    </row>
    <row r="8" spans="1:3" x14ac:dyDescent="0.2">
      <c r="A8" s="6" t="s">
        <v>9</v>
      </c>
      <c r="B8" s="7">
        <v>3845432.38</v>
      </c>
      <c r="C8" s="2">
        <v>15271</v>
      </c>
    </row>
    <row r="9" spans="1:3" x14ac:dyDescent="0.2">
      <c r="A9" s="6" t="s">
        <v>14</v>
      </c>
      <c r="B9" s="7">
        <v>2665457.25</v>
      </c>
      <c r="C9" s="2">
        <v>37005</v>
      </c>
    </row>
    <row r="10" spans="1:3" x14ac:dyDescent="0.2">
      <c r="A10" s="6" t="s">
        <v>15</v>
      </c>
      <c r="B10" s="7">
        <v>2424788.17</v>
      </c>
      <c r="C10" s="2">
        <v>32589</v>
      </c>
    </row>
    <row r="11" spans="1:3" x14ac:dyDescent="0.2">
      <c r="A11" s="6" t="s">
        <v>13</v>
      </c>
      <c r="B11" s="7">
        <v>1314123.2</v>
      </c>
      <c r="C11" s="2">
        <v>18011</v>
      </c>
    </row>
    <row r="12" spans="1:3" x14ac:dyDescent="0.2">
      <c r="A12" s="6" t="s">
        <v>5</v>
      </c>
      <c r="B12" s="7">
        <v>770010.23</v>
      </c>
      <c r="C12" s="2">
        <v>6972</v>
      </c>
    </row>
    <row r="13" spans="1:3" x14ac:dyDescent="0.2">
      <c r="A13" s="6" t="s">
        <v>4</v>
      </c>
      <c r="B13" s="7">
        <v>609217</v>
      </c>
      <c r="C13" s="2">
        <v>26758</v>
      </c>
    </row>
    <row r="14" spans="1:3" x14ac:dyDescent="0.2">
      <c r="A14" s="6" t="s">
        <v>16</v>
      </c>
      <c r="B14" s="7">
        <v>603314.13</v>
      </c>
      <c r="C14" s="2">
        <v>5308</v>
      </c>
    </row>
    <row r="15" spans="1:3" x14ac:dyDescent="0.2">
      <c r="A15" s="6" t="s">
        <v>10</v>
      </c>
      <c r="B15" s="7">
        <v>429592</v>
      </c>
      <c r="C15" s="2">
        <v>10660</v>
      </c>
    </row>
    <row r="16" spans="1:3" x14ac:dyDescent="0.2">
      <c r="A16" s="6" t="s">
        <v>11</v>
      </c>
      <c r="B16" s="7">
        <v>2958.9900000000002</v>
      </c>
      <c r="C16" s="2">
        <v>26613</v>
      </c>
    </row>
    <row r="17" spans="1:3" x14ac:dyDescent="0.2">
      <c r="A17" s="6" t="s">
        <v>17</v>
      </c>
      <c r="B17" s="7">
        <v>44120146.659999996</v>
      </c>
      <c r="C17" s="2">
        <v>342795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B4" sqref="B4"/>
    </sheetView>
  </sheetViews>
  <sheetFormatPr defaultRowHeight="14.25" x14ac:dyDescent="0.2"/>
  <cols>
    <col min="1" max="1" width="7.75" style="5" customWidth="1"/>
    <col min="2" max="2" width="15.5" style="5" customWidth="1"/>
    <col min="3" max="3" width="6" style="7" customWidth="1"/>
    <col min="4" max="16384" width="9" style="5"/>
  </cols>
  <sheetData>
    <row r="1" spans="1:3" x14ac:dyDescent="0.2">
      <c r="A1" s="4" t="s">
        <v>3</v>
      </c>
      <c r="B1" s="5" t="s">
        <v>10</v>
      </c>
    </row>
    <row r="3" spans="1:3" x14ac:dyDescent="0.2">
      <c r="A3" s="4" t="s">
        <v>3</v>
      </c>
      <c r="B3" s="7" t="s">
        <v>19</v>
      </c>
      <c r="C3" s="5" t="s">
        <v>18</v>
      </c>
    </row>
    <row r="4" spans="1:3" x14ac:dyDescent="0.2">
      <c r="A4" s="6" t="s">
        <v>20</v>
      </c>
      <c r="B4" s="7">
        <v>208936</v>
      </c>
      <c r="C4" s="2">
        <v>4251</v>
      </c>
    </row>
    <row r="5" spans="1:3" x14ac:dyDescent="0.2">
      <c r="A5" s="6" t="s">
        <v>21</v>
      </c>
      <c r="B5" s="7">
        <v>99734</v>
      </c>
      <c r="C5" s="2">
        <v>3277</v>
      </c>
    </row>
    <row r="6" spans="1:3" x14ac:dyDescent="0.2">
      <c r="A6" s="6" t="s">
        <v>22</v>
      </c>
      <c r="B6" s="7">
        <v>120922</v>
      </c>
      <c r="C6" s="2">
        <v>3132</v>
      </c>
    </row>
    <row r="7" spans="1:3" x14ac:dyDescent="0.2">
      <c r="A7" s="6" t="s">
        <v>17</v>
      </c>
      <c r="B7" s="7">
        <v>429592</v>
      </c>
      <c r="C7" s="2">
        <v>10660</v>
      </c>
    </row>
    <row r="8" spans="1:3" x14ac:dyDescent="0.2">
      <c r="A8"/>
      <c r="B8"/>
      <c r="C8"/>
    </row>
    <row r="9" spans="1:3" x14ac:dyDescent="0.2">
      <c r="A9"/>
      <c r="B9"/>
      <c r="C9"/>
    </row>
    <row r="10" spans="1:3" x14ac:dyDescent="0.2">
      <c r="A10"/>
      <c r="B10"/>
      <c r="C10"/>
    </row>
    <row r="11" spans="1:3" x14ac:dyDescent="0.2">
      <c r="A11"/>
      <c r="B11"/>
      <c r="C11"/>
    </row>
    <row r="12" spans="1:3" x14ac:dyDescent="0.2">
      <c r="A12"/>
      <c r="B12"/>
      <c r="C12"/>
    </row>
    <row r="13" spans="1:3" x14ac:dyDescent="0.2">
      <c r="A13"/>
      <c r="B13"/>
      <c r="C13"/>
    </row>
    <row r="14" spans="1:3" x14ac:dyDescent="0.2">
      <c r="A14"/>
      <c r="B14"/>
      <c r="C14"/>
    </row>
    <row r="15" spans="1:3" x14ac:dyDescent="0.2">
      <c r="A15"/>
      <c r="B15"/>
      <c r="C15"/>
    </row>
    <row r="16" spans="1:3" x14ac:dyDescent="0.2">
      <c r="A16"/>
      <c r="B16"/>
      <c r="C16"/>
    </row>
    <row r="17" spans="1:3" x14ac:dyDescent="0.2">
      <c r="A17"/>
      <c r="B17"/>
      <c r="C17"/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sqref="A1:D40"/>
    </sheetView>
  </sheetViews>
  <sheetFormatPr defaultRowHeight="14.25" x14ac:dyDescent="0.2"/>
  <cols>
    <col min="1" max="1" width="10" bestFit="1" customWidth="1"/>
    <col min="2" max="2" width="7.375" bestFit="1" customWidth="1"/>
    <col min="3" max="3" width="15.125" bestFit="1" customWidth="1"/>
    <col min="4" max="4" width="14.125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3">
        <v>45658</v>
      </c>
      <c r="B2" s="2">
        <v>10895</v>
      </c>
      <c r="C2" s="2">
        <v>207812</v>
      </c>
      <c r="D2" s="2" t="s">
        <v>4</v>
      </c>
    </row>
    <row r="3" spans="1:4" x14ac:dyDescent="0.2">
      <c r="A3" s="3">
        <v>45689</v>
      </c>
      <c r="B3" s="2">
        <v>7937</v>
      </c>
      <c r="C3" s="2">
        <v>207137</v>
      </c>
      <c r="D3" s="2" t="s">
        <v>4</v>
      </c>
    </row>
    <row r="4" spans="1:4" x14ac:dyDescent="0.2">
      <c r="A4" s="3">
        <v>45717</v>
      </c>
      <c r="B4" s="2">
        <v>7926</v>
      </c>
      <c r="C4" s="2">
        <v>194268</v>
      </c>
      <c r="D4" s="2" t="s">
        <v>4</v>
      </c>
    </row>
    <row r="5" spans="1:4" x14ac:dyDescent="0.2">
      <c r="A5" s="3">
        <v>45658</v>
      </c>
      <c r="B5" s="2">
        <v>2305</v>
      </c>
      <c r="C5" s="2">
        <v>242501.27</v>
      </c>
      <c r="D5" s="2" t="s">
        <v>5</v>
      </c>
    </row>
    <row r="6" spans="1:4" x14ac:dyDescent="0.2">
      <c r="A6" s="3">
        <v>45689</v>
      </c>
      <c r="B6" s="2">
        <v>2477</v>
      </c>
      <c r="C6" s="2">
        <v>224012.56</v>
      </c>
      <c r="D6" s="2" t="s">
        <v>5</v>
      </c>
    </row>
    <row r="7" spans="1:4" x14ac:dyDescent="0.2">
      <c r="A7" s="3">
        <v>45717</v>
      </c>
      <c r="B7" s="2">
        <v>2190</v>
      </c>
      <c r="C7" s="2">
        <v>303496.40000000002</v>
      </c>
      <c r="D7" s="2" t="s">
        <v>5</v>
      </c>
    </row>
    <row r="8" spans="1:4" x14ac:dyDescent="0.2">
      <c r="A8" s="3">
        <v>45658</v>
      </c>
      <c r="B8" s="2">
        <v>3842</v>
      </c>
      <c r="C8" s="2">
        <v>1549051.74</v>
      </c>
      <c r="D8" s="2" t="s">
        <v>6</v>
      </c>
    </row>
    <row r="9" spans="1:4" x14ac:dyDescent="0.2">
      <c r="A9" s="3">
        <v>45689</v>
      </c>
      <c r="B9" s="2">
        <v>3636</v>
      </c>
      <c r="C9" s="2">
        <v>1319028.8500000001</v>
      </c>
      <c r="D9" s="2" t="s">
        <v>6</v>
      </c>
    </row>
    <row r="10" spans="1:4" x14ac:dyDescent="0.2">
      <c r="A10" s="3">
        <v>45717</v>
      </c>
      <c r="B10" s="2">
        <v>3582</v>
      </c>
      <c r="C10" s="2">
        <v>1609887.81</v>
      </c>
      <c r="D10" s="2" t="s">
        <v>6</v>
      </c>
    </row>
    <row r="11" spans="1:4" x14ac:dyDescent="0.2">
      <c r="A11" s="3">
        <v>45658</v>
      </c>
      <c r="B11" s="2">
        <v>14296</v>
      </c>
      <c r="C11" s="2">
        <v>1599868</v>
      </c>
      <c r="D11" s="2" t="s">
        <v>7</v>
      </c>
    </row>
    <row r="12" spans="1:4" x14ac:dyDescent="0.2">
      <c r="A12" s="3">
        <v>45689</v>
      </c>
      <c r="B12" s="2">
        <v>12252</v>
      </c>
      <c r="C12" s="2">
        <v>1252537</v>
      </c>
      <c r="D12" s="2" t="s">
        <v>7</v>
      </c>
    </row>
    <row r="13" spans="1:4" x14ac:dyDescent="0.2">
      <c r="A13" s="3">
        <v>45717</v>
      </c>
      <c r="B13" s="2">
        <v>12610</v>
      </c>
      <c r="C13" s="2">
        <v>1426002</v>
      </c>
      <c r="D13" s="2" t="s">
        <v>7</v>
      </c>
    </row>
    <row r="14" spans="1:4" x14ac:dyDescent="0.2">
      <c r="A14" s="3">
        <v>45658</v>
      </c>
      <c r="B14" s="2">
        <v>11298</v>
      </c>
      <c r="C14" s="2">
        <v>2499988.61</v>
      </c>
      <c r="D14" s="2" t="s">
        <v>8</v>
      </c>
    </row>
    <row r="15" spans="1:4" x14ac:dyDescent="0.2">
      <c r="A15" s="3">
        <v>45689</v>
      </c>
      <c r="B15" s="2">
        <v>11073</v>
      </c>
      <c r="C15" s="2">
        <v>2396539.9900000002</v>
      </c>
      <c r="D15" s="2" t="s">
        <v>8</v>
      </c>
    </row>
    <row r="16" spans="1:4" x14ac:dyDescent="0.2">
      <c r="A16" s="3">
        <v>45717</v>
      </c>
      <c r="B16" s="2">
        <v>10597</v>
      </c>
      <c r="C16" s="2">
        <v>2277059.77</v>
      </c>
      <c r="D16" s="2" t="s">
        <v>8</v>
      </c>
    </row>
    <row r="17" spans="1:4" x14ac:dyDescent="0.2">
      <c r="A17" s="3">
        <v>45658</v>
      </c>
      <c r="B17" s="2">
        <v>5271</v>
      </c>
      <c r="C17" s="2">
        <v>1417133.49</v>
      </c>
      <c r="D17" s="2" t="s">
        <v>9</v>
      </c>
    </row>
    <row r="18" spans="1:4" x14ac:dyDescent="0.2">
      <c r="A18" s="3">
        <v>45689</v>
      </c>
      <c r="B18" s="2">
        <v>5010</v>
      </c>
      <c r="C18" s="2">
        <v>1171451.1399999999</v>
      </c>
      <c r="D18" s="2" t="s">
        <v>9</v>
      </c>
    </row>
    <row r="19" spans="1:4" x14ac:dyDescent="0.2">
      <c r="A19" s="3">
        <v>45717</v>
      </c>
      <c r="B19" s="2">
        <v>4990</v>
      </c>
      <c r="C19" s="2">
        <v>1256847.75</v>
      </c>
      <c r="D19" s="2" t="s">
        <v>9</v>
      </c>
    </row>
    <row r="20" spans="1:4" x14ac:dyDescent="0.2">
      <c r="A20" s="3">
        <v>45658</v>
      </c>
      <c r="B20" s="2">
        <v>4251</v>
      </c>
      <c r="C20" s="2">
        <v>208936</v>
      </c>
      <c r="D20" s="2" t="s">
        <v>10</v>
      </c>
    </row>
    <row r="21" spans="1:4" x14ac:dyDescent="0.2">
      <c r="A21" s="3">
        <v>45689</v>
      </c>
      <c r="B21" s="2">
        <v>3277</v>
      </c>
      <c r="C21" s="2">
        <v>99734</v>
      </c>
      <c r="D21" s="2" t="s">
        <v>10</v>
      </c>
    </row>
    <row r="22" spans="1:4" x14ac:dyDescent="0.2">
      <c r="A22" s="3">
        <v>45717</v>
      </c>
      <c r="B22" s="2">
        <v>3132</v>
      </c>
      <c r="C22" s="2">
        <v>120922</v>
      </c>
      <c r="D22" s="2" t="s">
        <v>10</v>
      </c>
    </row>
    <row r="23" spans="1:4" x14ac:dyDescent="0.2">
      <c r="A23" s="3">
        <v>45658</v>
      </c>
      <c r="B23" s="2">
        <v>9984</v>
      </c>
      <c r="C23" s="2">
        <v>1066.6400000000001</v>
      </c>
      <c r="D23" s="2" t="s">
        <v>11</v>
      </c>
    </row>
    <row r="24" spans="1:4" x14ac:dyDescent="0.2">
      <c r="A24" s="3">
        <v>45689</v>
      </c>
      <c r="B24" s="2">
        <v>8329</v>
      </c>
      <c r="C24" s="2">
        <v>796.7</v>
      </c>
      <c r="D24" s="2" t="s">
        <v>11</v>
      </c>
    </row>
    <row r="25" spans="1:4" x14ac:dyDescent="0.2">
      <c r="A25" s="3">
        <v>45717</v>
      </c>
      <c r="B25" s="2">
        <v>8300</v>
      </c>
      <c r="C25" s="2">
        <v>1095.6500000000001</v>
      </c>
      <c r="D25" s="2" t="s">
        <v>11</v>
      </c>
    </row>
    <row r="26" spans="1:4" x14ac:dyDescent="0.2">
      <c r="A26" s="3">
        <v>45658</v>
      </c>
      <c r="B26" s="2">
        <v>28023</v>
      </c>
      <c r="C26" s="2">
        <v>5441535.8600000003</v>
      </c>
      <c r="D26" s="2" t="s">
        <v>12</v>
      </c>
    </row>
    <row r="27" spans="1:4" x14ac:dyDescent="0.2">
      <c r="A27" s="3">
        <v>45689</v>
      </c>
      <c r="B27" s="2">
        <v>26410</v>
      </c>
      <c r="C27" s="2">
        <v>5258541.5999999996</v>
      </c>
      <c r="D27" s="2" t="s">
        <v>12</v>
      </c>
    </row>
    <row r="28" spans="1:4" x14ac:dyDescent="0.2">
      <c r="A28" s="3">
        <v>45717</v>
      </c>
      <c r="B28" s="2">
        <v>25989</v>
      </c>
      <c r="C28" s="2">
        <v>4825212.08</v>
      </c>
      <c r="D28" s="2" t="s">
        <v>12</v>
      </c>
    </row>
    <row r="29" spans="1:4" x14ac:dyDescent="0.2">
      <c r="A29" s="3">
        <v>45658</v>
      </c>
      <c r="B29" s="2">
        <v>6299</v>
      </c>
      <c r="C29" s="2">
        <v>534418.13</v>
      </c>
      <c r="D29" s="2" t="s">
        <v>13</v>
      </c>
    </row>
    <row r="30" spans="1:4" x14ac:dyDescent="0.2">
      <c r="A30" s="3">
        <v>45689</v>
      </c>
      <c r="B30" s="2">
        <v>5870</v>
      </c>
      <c r="C30" s="2">
        <v>359888.91</v>
      </c>
      <c r="D30" s="2" t="s">
        <v>13</v>
      </c>
    </row>
    <row r="31" spans="1:4" x14ac:dyDescent="0.2">
      <c r="A31" s="3">
        <v>45717</v>
      </c>
      <c r="B31" s="2">
        <v>5842</v>
      </c>
      <c r="C31" s="2">
        <v>419816.16</v>
      </c>
      <c r="D31" s="2" t="s">
        <v>13</v>
      </c>
    </row>
    <row r="32" spans="1:4" x14ac:dyDescent="0.2">
      <c r="A32" s="3">
        <v>45658</v>
      </c>
      <c r="B32" s="2">
        <v>13465</v>
      </c>
      <c r="C32" s="2">
        <v>872856.24</v>
      </c>
      <c r="D32" s="2" t="s">
        <v>14</v>
      </c>
    </row>
    <row r="33" spans="1:4" x14ac:dyDescent="0.2">
      <c r="A33" s="3">
        <v>45689</v>
      </c>
      <c r="B33" s="2">
        <v>11807</v>
      </c>
      <c r="C33" s="2">
        <v>829410.34</v>
      </c>
      <c r="D33" s="2" t="s">
        <v>14</v>
      </c>
    </row>
    <row r="34" spans="1:4" x14ac:dyDescent="0.2">
      <c r="A34" s="3">
        <v>45717</v>
      </c>
      <c r="B34" s="2">
        <v>11733</v>
      </c>
      <c r="C34" s="2">
        <v>963190.67</v>
      </c>
      <c r="D34" s="2" t="s">
        <v>14</v>
      </c>
    </row>
    <row r="35" spans="1:4" x14ac:dyDescent="0.2">
      <c r="A35" s="3">
        <v>45658</v>
      </c>
      <c r="B35" s="2">
        <v>12474</v>
      </c>
      <c r="C35" s="2">
        <v>1002973.22</v>
      </c>
      <c r="D35" s="2" t="s">
        <v>15</v>
      </c>
    </row>
    <row r="36" spans="1:4" x14ac:dyDescent="0.2">
      <c r="A36" s="3">
        <v>45689</v>
      </c>
      <c r="B36" s="2">
        <v>10402</v>
      </c>
      <c r="C36" s="2">
        <v>770401.6</v>
      </c>
      <c r="D36" s="2" t="s">
        <v>15</v>
      </c>
    </row>
    <row r="37" spans="1:4" x14ac:dyDescent="0.2">
      <c r="A37" s="3">
        <v>45717</v>
      </c>
      <c r="B37" s="2">
        <v>9713</v>
      </c>
      <c r="C37" s="2">
        <v>651413.35</v>
      </c>
      <c r="D37" s="2" t="s">
        <v>15</v>
      </c>
    </row>
    <row r="38" spans="1:4" x14ac:dyDescent="0.2">
      <c r="A38" s="3">
        <v>45658</v>
      </c>
      <c r="B38" s="2">
        <v>1958</v>
      </c>
      <c r="C38" s="2">
        <v>235143.99</v>
      </c>
      <c r="D38" s="2" t="s">
        <v>16</v>
      </c>
    </row>
    <row r="39" spans="1:4" x14ac:dyDescent="0.2">
      <c r="A39" s="3">
        <v>45689</v>
      </c>
      <c r="B39" s="2">
        <v>1669</v>
      </c>
      <c r="C39" s="2">
        <v>183526.43</v>
      </c>
      <c r="D39" s="2" t="s">
        <v>16</v>
      </c>
    </row>
    <row r="40" spans="1:4" x14ac:dyDescent="0.2">
      <c r="A40" s="3">
        <v>45717</v>
      </c>
      <c r="B40" s="2">
        <v>1681</v>
      </c>
      <c r="C40" s="2">
        <v>184643.71</v>
      </c>
      <c r="D40" s="2" t="s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AA6A33-0F01-4D74-9DFD-CC8EF28E5A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Sheet4</vt:lpstr>
      <vt:lpstr>Sheet1</vt:lpstr>
      <vt:lpstr>Sheet3</vt:lpstr>
      <vt:lpstr>Sheet5</vt:lpstr>
      <vt:lpstr>Sheet6</vt:lpstr>
      <vt:lpstr>Sheet7</vt:lpstr>
      <vt:lpstr>Sheet8</vt:lpstr>
      <vt:lpstr>Sheet9</vt:lpstr>
      <vt:lpstr>总览</vt:lpstr>
      <vt:lpstr>每个项目月总计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HQ</cp:lastModifiedBy>
  <dcterms:created xsi:type="dcterms:W3CDTF">2025-05-15T15:32:15Z</dcterms:created>
  <dcterms:modified xsi:type="dcterms:W3CDTF">2025-05-16T02:10:23Z</dcterms:modified>
</cp:coreProperties>
</file>